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iferclark/OMSF/OpenFF/DatasetRelease/MetaOMol25_org_smiles/"/>
    </mc:Choice>
  </mc:AlternateContent>
  <xr:revisionPtr revIDLastSave="0" documentId="8_{0173DE62-8931-D243-B873-25C1B379D87E}" xr6:coauthVersionLast="47" xr6:coauthVersionMax="47" xr10:uidLastSave="{00000000-0000-0000-0000-000000000000}"/>
  <bookViews>
    <workbookView xWindow="24520" yWindow="16660" windowWidth="28040" windowHeight="17440" xr2:uid="{FA7AD54C-68EA-7042-8D94-D09A3EA7B6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C4" i="1"/>
  <c r="D4" i="1"/>
  <c r="B5" i="1"/>
  <c r="B6" i="1"/>
  <c r="B7" i="1"/>
  <c r="B8" i="1"/>
  <c r="B9" i="1"/>
  <c r="D9" i="1" s="1"/>
  <c r="B10" i="1"/>
  <c r="D10" i="1" s="1"/>
  <c r="B11" i="1"/>
  <c r="B12" i="1"/>
  <c r="D7" i="1"/>
  <c r="D6" i="1"/>
  <c r="D5" i="1"/>
  <c r="D8" i="1"/>
  <c r="D11" i="1"/>
  <c r="D12" i="1"/>
  <c r="C12" i="1"/>
  <c r="C11" i="1"/>
  <c r="C10" i="1"/>
  <c r="C9" i="1"/>
  <c r="C8" i="1"/>
  <c r="C7" i="1"/>
  <c r="C6" i="1"/>
  <c r="C5" i="1"/>
</calcChain>
</file>

<file path=xl/sharedStrings.xml><?xml version="1.0" encoding="utf-8"?>
<sst xmlns="http://schemas.openxmlformats.org/spreadsheetml/2006/main" count="9" uniqueCount="9">
  <si>
    <t>biomolecules</t>
  </si>
  <si>
    <t>spice</t>
  </si>
  <si>
    <t>orbnet_denali</t>
  </si>
  <si>
    <t>geom_orca6</t>
  </si>
  <si>
    <t>reactivity</t>
  </si>
  <si>
    <t>ani2x</t>
  </si>
  <si>
    <t>rgd</t>
  </si>
  <si>
    <t>trans1x</t>
  </si>
  <si>
    <t>elytes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</si>
</sst>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E+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 applyAlignment="1">
      <alignment horizontal="left" indent="2"/>
    </xf>
    <xf numFmtId="11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FBF68-1332-B54E-B8F8-8252E2F69461}">
  <dimension ref="A4:D12"/>
  <sheetViews>
    <sheetView tabSelected="1" workbookViewId="0">
      <selection activeCell="D4" sqref="D4"/>
    </sheetView>
  </sheetViews>
  <sheetFormatPr baseColWidth="10" defaultRowHeight="16" x14ac:dyDescent="0.2"/>
  <cols>
    <col min="1" max="1" width="12.33203125" bestFit="1" customWidth="1"/>
    <col min="4" max="4" width="14.1640625" bestFit="1" customWidth="1"/>
  </cols>
  <sheetData>
    <row r="4" spans="1:4" x14ac:dyDescent="0.2">
      <c r="A4" t="s">
        <v>8</v>
      </c>
      <c r="B4" s="3">
        <f>889184+811029+10381244+10359233</f>
        <v>22440690</v>
      </c>
      <c r="C4">
        <f>889184+10381244</f>
        <v>11270428</v>
      </c>
      <c r="D4" s="1">
        <f>C4/B4*100</f>
        <v>50.223179412041254</v>
      </c>
    </row>
    <row r="5" spans="1:4" x14ac:dyDescent="0.2">
      <c r="A5" t="s">
        <v>0</v>
      </c>
      <c r="B5" s="3">
        <f>453011+154611+12005719+3083247</f>
        <v>15696588</v>
      </c>
      <c r="C5" s="2">
        <f>453011+12005719</f>
        <v>12458730</v>
      </c>
      <c r="D5" s="1">
        <f>C5/B5*100</f>
        <v>79.372217707440626</v>
      </c>
    </row>
    <row r="6" spans="1:4" x14ac:dyDescent="0.2">
      <c r="A6" t="s">
        <v>1</v>
      </c>
      <c r="B6" s="3">
        <f>9550+80+1778579+197756</f>
        <v>1985965</v>
      </c>
      <c r="C6" s="2">
        <f>9550+1778579</f>
        <v>1788129</v>
      </c>
      <c r="D6" s="1">
        <f t="shared" ref="D6:D12" si="0">C6/B6*100</f>
        <v>90.03829372622377</v>
      </c>
    </row>
    <row r="7" spans="1:4" x14ac:dyDescent="0.2">
      <c r="A7" t="s">
        <v>2</v>
      </c>
      <c r="B7" s="3">
        <f>12944+6415+2103412+186722</f>
        <v>2309493</v>
      </c>
      <c r="C7" s="2">
        <f>12944+2103412</f>
        <v>2116356</v>
      </c>
      <c r="D7" s="1">
        <f t="shared" si="0"/>
        <v>91.637255449572692</v>
      </c>
    </row>
    <row r="8" spans="1:4" x14ac:dyDescent="0.2">
      <c r="A8" t="s">
        <v>3</v>
      </c>
      <c r="B8" s="3">
        <f>5933+22+8939758+8153</f>
        <v>8953866</v>
      </c>
      <c r="C8" s="2">
        <f>5933+8939758</f>
        <v>8945691</v>
      </c>
      <c r="D8" s="1">
        <f t="shared" si="0"/>
        <v>99.908698655977204</v>
      </c>
    </row>
    <row r="9" spans="1:4" x14ac:dyDescent="0.2">
      <c r="A9" t="s">
        <v>4</v>
      </c>
      <c r="B9" s="3">
        <f>175748+48005+11175900+2946031</f>
        <v>14345684</v>
      </c>
      <c r="C9" s="2">
        <f>175748+11175900</f>
        <v>11351648</v>
      </c>
      <c r="D9" s="1">
        <f t="shared" si="0"/>
        <v>79.129360440394478</v>
      </c>
    </row>
    <row r="10" spans="1:4" x14ac:dyDescent="0.2">
      <c r="A10" t="s">
        <v>5</v>
      </c>
      <c r="B10" s="3">
        <f>2952+9639012</f>
        <v>9641964</v>
      </c>
      <c r="C10" s="2">
        <f>2952+9639012</f>
        <v>9641964</v>
      </c>
      <c r="D10" s="1">
        <f t="shared" si="0"/>
        <v>100</v>
      </c>
    </row>
    <row r="11" spans="1:4" x14ac:dyDescent="0.2">
      <c r="A11" t="s">
        <v>6</v>
      </c>
      <c r="B11" s="3">
        <f>3359478</f>
        <v>3359478</v>
      </c>
      <c r="C11" s="2">
        <f>3359478</f>
        <v>3359478</v>
      </c>
      <c r="D11" s="1">
        <f t="shared" si="0"/>
        <v>100</v>
      </c>
    </row>
    <row r="12" spans="1:4" x14ac:dyDescent="0.2">
      <c r="A12" t="s">
        <v>7</v>
      </c>
      <c r="B12" s="3">
        <f>9569752</f>
        <v>9569752</v>
      </c>
      <c r="C12" s="2">
        <f>9569752</f>
        <v>9569752</v>
      </c>
      <c r="D12" s="1">
        <f t="shared" si="0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Clark</dc:creator>
  <cp:lastModifiedBy>Jennifer Clark</cp:lastModifiedBy>
  <dcterms:created xsi:type="dcterms:W3CDTF">2026-03-16T13:37:16Z</dcterms:created>
  <dcterms:modified xsi:type="dcterms:W3CDTF">2026-03-16T14:03:34Z</dcterms:modified>
</cp:coreProperties>
</file>